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nibuch/Documents/Codex/Master-Immo/"/>
    </mc:Choice>
  </mc:AlternateContent>
  <xr:revisionPtr revIDLastSave="0" documentId="13_ncr:1_{30839C3F-F0D4-EB48-B2FC-A7E018B99E8D}" xr6:coauthVersionLast="47" xr6:coauthVersionMax="47" xr10:uidLastSave="{00000000-0000-0000-0000-000000000000}"/>
  <bookViews>
    <workbookView xWindow="0" yWindow="660" windowWidth="30240" windowHeight="18980" activeTab="2" xr2:uid="{00000000-000D-0000-FFFF-FFFF00000000}"/>
  </bookViews>
  <sheets>
    <sheet name="Rohdaten" sheetId="1" r:id="rId1"/>
    <sheet name="Mieterliste" sheetId="2" r:id="rId2"/>
    <sheet name="Rentabilität" sheetId="3" r:id="rId3"/>
  </sheets>
  <definedNames>
    <definedName name="_xlnm._FilterDatabase" localSheetId="2" hidden="1">Rentabilität!$A$6:$X$10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2" l="1"/>
  <c r="F9" i="2"/>
  <c r="E9" i="2"/>
  <c r="D10" i="3" s="1"/>
  <c r="E10" i="3" s="1"/>
  <c r="D9" i="2"/>
  <c r="C9" i="2"/>
  <c r="B9" i="2"/>
  <c r="I8" i="2"/>
  <c r="F8" i="2"/>
  <c r="D8" i="2"/>
  <c r="C8" i="2"/>
  <c r="B8" i="2"/>
  <c r="I7" i="2"/>
  <c r="F7" i="2"/>
  <c r="E7" i="2"/>
  <c r="D8" i="3" s="1"/>
  <c r="E8" i="3" s="1"/>
  <c r="S8" i="3" s="1"/>
  <c r="D7" i="2"/>
  <c r="C7" i="2"/>
  <c r="B7" i="2"/>
  <c r="I6" i="2"/>
  <c r="F6" i="2"/>
  <c r="E6" i="2"/>
  <c r="D6" i="2"/>
  <c r="C6" i="2"/>
  <c r="B6" i="2"/>
  <c r="I5" i="2"/>
  <c r="F5" i="2"/>
  <c r="E5" i="2"/>
  <c r="D5" i="2"/>
  <c r="C5" i="2"/>
  <c r="B5" i="2"/>
  <c r="I4" i="2"/>
  <c r="G4" i="2"/>
  <c r="F4" i="2"/>
  <c r="E4" i="2"/>
  <c r="D4" i="2"/>
  <c r="C4" i="2"/>
  <c r="B4" i="2"/>
  <c r="I3" i="2"/>
  <c r="F3" i="2"/>
  <c r="E3" i="2"/>
  <c r="D3" i="2"/>
  <c r="C3" i="2"/>
  <c r="B3" i="2"/>
  <c r="G2" i="2"/>
  <c r="E2" i="2"/>
  <c r="D2" i="2"/>
  <c r="C2" i="2"/>
  <c r="B2" i="2"/>
  <c r="K11" i="1"/>
  <c r="K9" i="1"/>
  <c r="G9" i="2" s="1"/>
  <c r="G8" i="1"/>
  <c r="K8" i="1" s="1"/>
  <c r="G8" i="2" s="1"/>
  <c r="K7" i="1"/>
  <c r="G7" i="2" s="1"/>
  <c r="K6" i="1"/>
  <c r="G6" i="2" s="1"/>
  <c r="K5" i="1"/>
  <c r="G5" i="2" s="1"/>
  <c r="K3" i="1"/>
  <c r="G3" i="2" s="1"/>
  <c r="P11" i="3"/>
  <c r="N11" i="3"/>
  <c r="L11" i="3"/>
  <c r="J11" i="3"/>
  <c r="H11" i="3"/>
  <c r="Q10" i="3"/>
  <c r="Q9" i="3"/>
  <c r="Q8" i="3"/>
  <c r="Q7" i="3"/>
  <c r="L5" i="2" l="1"/>
  <c r="L7" i="2"/>
  <c r="J5" i="2"/>
  <c r="E8" i="2"/>
  <c r="J8" i="2" s="1"/>
  <c r="F9" i="3" s="1"/>
  <c r="G9" i="3" s="1"/>
  <c r="K7" i="2"/>
  <c r="J4" i="2"/>
  <c r="L8" i="2"/>
  <c r="K4" i="2"/>
  <c r="F11" i="2"/>
  <c r="K5" i="2"/>
  <c r="L6" i="2"/>
  <c r="L3" i="2"/>
  <c r="J7" i="2"/>
  <c r="F8" i="3" s="1"/>
  <c r="D7" i="3"/>
  <c r="E7" i="3" s="1"/>
  <c r="Q11" i="3"/>
  <c r="K8" i="2"/>
  <c r="L4" i="2"/>
  <c r="G11" i="2"/>
  <c r="S10" i="3"/>
  <c r="R10" i="3"/>
  <c r="L9" i="2"/>
  <c r="J3" i="2"/>
  <c r="J9" i="2"/>
  <c r="F10" i="3" s="1"/>
  <c r="K9" i="2"/>
  <c r="R8" i="3"/>
  <c r="K3" i="2"/>
  <c r="J6" i="2"/>
  <c r="K6" i="2"/>
  <c r="D9" i="3" l="1"/>
  <c r="E9" i="3" s="1"/>
  <c r="E11" i="2"/>
  <c r="D11" i="3"/>
  <c r="L11" i="2"/>
  <c r="G8" i="3"/>
  <c r="C8" i="3"/>
  <c r="O8" i="3" s="1"/>
  <c r="K11" i="2"/>
  <c r="E11" i="3"/>
  <c r="R7" i="3"/>
  <c r="S7" i="3"/>
  <c r="C10" i="3"/>
  <c r="O10" i="3" s="1"/>
  <c r="G10" i="3"/>
  <c r="J11" i="2"/>
  <c r="F7" i="3"/>
  <c r="S9" i="3"/>
  <c r="R9" i="3"/>
  <c r="I10" i="3" l="1"/>
  <c r="K10" i="3"/>
  <c r="M10" i="3" s="1"/>
  <c r="V10" i="3" s="1"/>
  <c r="C9" i="3"/>
  <c r="O9" i="3" s="1"/>
  <c r="I8" i="3"/>
  <c r="U8" i="3" s="1"/>
  <c r="K8" i="3"/>
  <c r="R11" i="3"/>
  <c r="H5" i="3"/>
  <c r="G7" i="3"/>
  <c r="C7" i="3"/>
  <c r="F11" i="3"/>
  <c r="U10" i="3"/>
  <c r="T10" i="3"/>
  <c r="B5" i="3"/>
  <c r="S11" i="3"/>
  <c r="T8" i="3" l="1"/>
  <c r="K7" i="3"/>
  <c r="M7" i="3" s="1"/>
  <c r="O7" i="3"/>
  <c r="I9" i="3"/>
  <c r="K9" i="3"/>
  <c r="M9" i="3" s="1"/>
  <c r="V9" i="3" s="1"/>
  <c r="W10" i="3"/>
  <c r="X10" i="3" s="1"/>
  <c r="M8" i="3"/>
  <c r="K11" i="3"/>
  <c r="W8" i="3"/>
  <c r="C11" i="3"/>
  <c r="I7" i="3"/>
  <c r="T7" i="3" s="1"/>
  <c r="B4" i="3"/>
  <c r="G11" i="3"/>
  <c r="O11" i="3" l="1"/>
  <c r="F4" i="3"/>
  <c r="V7" i="3"/>
  <c r="W9" i="3"/>
  <c r="X9" i="3" s="1"/>
  <c r="T9" i="3"/>
  <c r="T11" i="3" s="1"/>
  <c r="U9" i="3"/>
  <c r="U7" i="3"/>
  <c r="D4" i="3"/>
  <c r="M11" i="3"/>
  <c r="V8" i="3"/>
  <c r="X8" i="3" s="1"/>
  <c r="W7" i="3"/>
  <c r="W11" i="3" s="1"/>
  <c r="I11" i="3"/>
  <c r="D5" i="3" l="1"/>
  <c r="H4" i="3"/>
  <c r="V11" i="3"/>
  <c r="U11" i="3"/>
  <c r="X7" i="3"/>
  <c r="F5" i="3"/>
  <c r="X11" i="3"/>
</calcChain>
</file>

<file path=xl/sharedStrings.xml><?xml version="1.0" encoding="utf-8"?>
<sst xmlns="http://schemas.openxmlformats.org/spreadsheetml/2006/main" count="131" uniqueCount="98">
  <si>
    <t>Rentabilität Immobilien</t>
  </si>
  <si>
    <t>Gelbe Felder sind manuelle Eingaben. Mieten und Anteile kommen aus der Mieterliste.</t>
  </si>
  <si>
    <t>Kaltmiete p.a. mein Anteil</t>
  </si>
  <si>
    <t>Zinskosten p.a. mein Anteil</t>
  </si>
  <si>
    <t>Laufende Kosten p.a. mein Anteil</t>
  </si>
  <si>
    <t>Nettoertrag p.a. mein Anteil</t>
  </si>
  <si>
    <t>Ø Bruttorendite gesamt</t>
  </si>
  <si>
    <t>Ø Rendite inkl. Zusatzkosten</t>
  </si>
  <si>
    <t>Ø Netto-EK-Rendite</t>
  </si>
  <si>
    <t>Kaufpreisfaktor Ø</t>
  </si>
  <si>
    <t>Immobilie</t>
  </si>
  <si>
    <t>Mieter</t>
  </si>
  <si>
    <t>Anteil</t>
  </si>
  <si>
    <t>Kaltmiete mtl. gesamt</t>
  </si>
  <si>
    <t>Kaltmiete p.a. gesamt</t>
  </si>
  <si>
    <t>Kaltmiete mtl. mein Anteil</t>
  </si>
  <si>
    <t>Kaufpreis gesamt</t>
  </si>
  <si>
    <t>Kaufpreis mein Anteil</t>
  </si>
  <si>
    <t>Restschuld gesamt</t>
  </si>
  <si>
    <t>Restschuld mein Anteil</t>
  </si>
  <si>
    <t>Zinssatz</t>
  </si>
  <si>
    <t>Laufende Kosten p.a. gesamt</t>
  </si>
  <si>
    <t>Zusatzkosten gesamt</t>
  </si>
  <si>
    <t>Zusatzkosten mein Anteil</t>
  </si>
  <si>
    <t>Kaufpreisfaktor</t>
  </si>
  <si>
    <t>Bruttorendite gesamt</t>
  </si>
  <si>
    <t>Bruttorendite mein Anteil</t>
  </si>
  <si>
    <t>Rendite inkl. Zusatzkosten</t>
  </si>
  <si>
    <t>Eigenkapital-Basis</t>
  </si>
  <si>
    <t>Netto-Eigenkapitalrendite</t>
  </si>
  <si>
    <t>Karlshafenerstraße 17, 34128 Kassel</t>
  </si>
  <si>
    <t>Zöller, Kozakevych, Akinci, Hamich</t>
  </si>
  <si>
    <t>Wilhelmshöherallee 200, 34119 Kassel</t>
  </si>
  <si>
    <t>Baba</t>
  </si>
  <si>
    <t>Heestweg 2, 22143 Hamburg</t>
  </si>
  <si>
    <t>Radtke</t>
  </si>
  <si>
    <t>Nebelthaustraße 12, Kassel</t>
  </si>
  <si>
    <t>Al-Othman</t>
  </si>
  <si>
    <t>Summe / Durchschnitt</t>
  </si>
  <si>
    <t>Info</t>
  </si>
  <si>
    <t>Name</t>
  </si>
  <si>
    <t>Vorname</t>
  </si>
  <si>
    <t>Adresse</t>
  </si>
  <si>
    <t>Telefon</t>
  </si>
  <si>
    <t>Email</t>
  </si>
  <si>
    <t>Betreuung</t>
  </si>
  <si>
    <t>Kaltmiete</t>
  </si>
  <si>
    <t>NK Vertrag</t>
  </si>
  <si>
    <t>NK aktuell</t>
  </si>
  <si>
    <t>Etage</t>
  </si>
  <si>
    <t>Gesamtmiete</t>
  </si>
  <si>
    <t>Nachzahlung 20 [+]</t>
  </si>
  <si>
    <t>erhalten/ausgezahlt</t>
  </si>
  <si>
    <t>Nachzahlung 21 [+]</t>
  </si>
  <si>
    <t>Zöller</t>
  </si>
  <si>
    <t>Georg und Margred</t>
  </si>
  <si>
    <t>georg@zoeller-ks.de</t>
  </si>
  <si>
    <t>-</t>
  </si>
  <si>
    <t>G</t>
  </si>
  <si>
    <t>Kozakevych</t>
  </si>
  <si>
    <t>Oleksandr und Maryna</t>
  </si>
  <si>
    <t>t.kozakevich09@gmail.com</t>
  </si>
  <si>
    <t>melanie.griedl@kassel.de</t>
  </si>
  <si>
    <t>Akinci</t>
  </si>
  <si>
    <t>Azad</t>
  </si>
  <si>
    <t>azadtugba47@gmail.com</t>
  </si>
  <si>
    <t>betreuungen-schirmaier@posteo.de</t>
  </si>
  <si>
    <t>n</t>
  </si>
  <si>
    <t>Hamich</t>
  </si>
  <si>
    <t>Adam</t>
  </si>
  <si>
    <t>hamesho1996@hotmail.com</t>
  </si>
  <si>
    <t>Susanne.Jeck@caritas-kassel.de</t>
  </si>
  <si>
    <t>Duk</t>
  </si>
  <si>
    <t>babaduk94@hotmail.com</t>
  </si>
  <si>
    <t>Marcel</t>
  </si>
  <si>
    <t>Mahmoud und Ali</t>
  </si>
  <si>
    <t>Archiv</t>
  </si>
  <si>
    <t>Purschke</t>
  </si>
  <si>
    <t>Jürgen</t>
  </si>
  <si>
    <t>Sandweg 1A, 34128 Kassel</t>
  </si>
  <si>
    <t>0561880827</t>
  </si>
  <si>
    <t>m</t>
  </si>
  <si>
    <t>Änderungen der Mietzahlungen</t>
  </si>
  <si>
    <t>Nebekostennachzahlung</t>
  </si>
  <si>
    <t>Kaution bezahlt</t>
  </si>
  <si>
    <t>Summe</t>
  </si>
  <si>
    <t>bezahlt ab</t>
  </si>
  <si>
    <t>bezahlt bis</t>
  </si>
  <si>
    <t>bezahlt am</t>
  </si>
  <si>
    <t>Betrag für 2020</t>
  </si>
  <si>
    <t>Betrag für 2021</t>
  </si>
  <si>
    <t>nicht im Mietvertrag</t>
  </si>
  <si>
    <t>Nachricht für Kozakevych</t>
  </si>
  <si>
    <t>das Guthaben für die Nebenkostenabrechnung 2022 in Höhe von 568,11 Euro (Anteil 2/3 378,74 Euro) haben wir mit der Mietzahlung für Oktober 2024 verrechnet.</t>
  </si>
  <si>
    <t>Das Guthaben für die Nebenkostenabrechnung 2023 in Höhe von 724,83 Euro (Anteil 2/3 483,22 Euro) werden wir mit der Mietzahlung für März und April 2025 verrechnen.</t>
  </si>
  <si>
    <t>Mieterliste</t>
  </si>
  <si>
    <t>Mein Anteil</t>
  </si>
  <si>
    <t>Nebenkosten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</si>
</sst>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[$€-2]\ * #,##0.00_-;\-[$€-2]\ * #,##0.00_-;_-[$€-2]\ * &quot;-&quot;??_-;_-@_-"/>
    <numFmt numFmtId="165" formatCode="#,##0.00\ \€"/>
    <numFmt numFmtId="166" formatCode="0.0\x"/>
    <numFmt numFmtId="167" formatCode="_-* #,##0.00\ &quot;XDR&quot;_-;\-* #,##0.00\ &quot;XDR&quot;_-;_-* &quot;-&quot;??\ &quot;XDR&quot;_-;_-@_-"/>
  </numFmts>
  <fonts count="1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Helvetica"/>
      <family val="2"/>
    </font>
    <font>
      <sz val="11"/>
      <color rgb="FF242424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8"/>
      <color rgb="FF1F4E78"/>
      <name val="Calibri"/>
      <family val="2"/>
    </font>
    <font>
      <i/>
      <sz val="10"/>
      <color rgb="FF666666"/>
      <name val="Calibri"/>
      <family val="2"/>
    </font>
    <font>
      <b/>
      <sz val="12"/>
      <name val="Calibri"/>
      <family val="2"/>
    </font>
    <font>
      <b/>
      <sz val="12"/>
      <color rgb="FFFFFFFF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1F4E78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F2F2F2"/>
      </patternFill>
    </fill>
  </fills>
  <borders count="2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</borders>
  <cellStyleXfs count="3">
    <xf numFmtId="0" fontId="0" fillId="0" borderId="0"/>
    <xf numFmtId="167" fontId="8" fillId="0" borderId="0"/>
    <xf numFmtId="0" fontId="9" fillId="0" borderId="0"/>
  </cellStyleXfs>
  <cellXfs count="66">
    <xf numFmtId="0" fontId="0" fillId="0" borderId="0" xfId="0"/>
    <xf numFmtId="0" fontId="4" fillId="0" borderId="0" xfId="0" applyFont="1" applyAlignment="1">
      <alignment vertical="center"/>
    </xf>
    <xf numFmtId="0" fontId="3" fillId="2" borderId="0" xfId="0" applyFont="1" applyFill="1"/>
    <xf numFmtId="0" fontId="5" fillId="0" borderId="0" xfId="0" applyFont="1"/>
    <xf numFmtId="14" fontId="0" fillId="0" borderId="0" xfId="0" applyNumberFormat="1"/>
    <xf numFmtId="49" fontId="0" fillId="0" borderId="0" xfId="0" applyNumberFormat="1" applyAlignment="1">
      <alignment horizontal="right"/>
    </xf>
    <xf numFmtId="0" fontId="0" fillId="2" borderId="0" xfId="0" applyFill="1"/>
    <xf numFmtId="0" fontId="0" fillId="0" borderId="1" xfId="0" applyBorder="1"/>
    <xf numFmtId="14" fontId="0" fillId="0" borderId="2" xfId="0" applyNumberFormat="1" applyBorder="1"/>
    <xf numFmtId="0" fontId="0" fillId="0" borderId="2" xfId="0" applyBorder="1"/>
    <xf numFmtId="17" fontId="0" fillId="0" borderId="1" xfId="0" applyNumberFormat="1" applyBorder="1"/>
    <xf numFmtId="0" fontId="6" fillId="0" borderId="0" xfId="0" applyFont="1" applyAlignment="1">
      <alignment vertical="center" wrapText="1"/>
    </xf>
    <xf numFmtId="0" fontId="3" fillId="4" borderId="3" xfId="0" applyFont="1" applyFill="1" applyBorder="1"/>
    <xf numFmtId="0" fontId="0" fillId="4" borderId="3" xfId="0" applyFill="1" applyBorder="1"/>
    <xf numFmtId="0" fontId="3" fillId="4" borderId="4" xfId="0" applyFont="1" applyFill="1" applyBorder="1"/>
    <xf numFmtId="0" fontId="0" fillId="4" borderId="4" xfId="0" applyFill="1" applyBorder="1"/>
    <xf numFmtId="0" fontId="0" fillId="4" borderId="5" xfId="0" applyFill="1" applyBorder="1"/>
    <xf numFmtId="0" fontId="2" fillId="0" borderId="0" xfId="0" applyFont="1" applyAlignment="1">
      <alignment vertical="center"/>
    </xf>
    <xf numFmtId="0" fontId="7" fillId="0" borderId="0" xfId="0" applyFont="1"/>
    <xf numFmtId="0" fontId="0" fillId="0" borderId="0" xfId="0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3" xfId="0" applyBorder="1"/>
    <xf numFmtId="0" fontId="0" fillId="0" borderId="15" xfId="0" applyBorder="1"/>
    <xf numFmtId="0" fontId="0" fillId="0" borderId="16" xfId="0" applyBorder="1"/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0" fillId="0" borderId="18" xfId="0" applyBorder="1"/>
    <xf numFmtId="0" fontId="3" fillId="0" borderId="0" xfId="0" applyFont="1"/>
    <xf numFmtId="0" fontId="0" fillId="0" borderId="19" xfId="0" applyBorder="1"/>
    <xf numFmtId="0" fontId="0" fillId="0" borderId="20" xfId="0" applyBorder="1"/>
    <xf numFmtId="2" fontId="0" fillId="0" borderId="13" xfId="0" applyNumberFormat="1" applyBorder="1"/>
    <xf numFmtId="2" fontId="0" fillId="0" borderId="15" xfId="0" applyNumberFormat="1" applyBorder="1"/>
    <xf numFmtId="164" fontId="0" fillId="0" borderId="6" xfId="1" applyNumberFormat="1" applyFont="1" applyBorder="1"/>
    <xf numFmtId="164" fontId="0" fillId="0" borderId="14" xfId="1" applyNumberFormat="1" applyFont="1" applyBorder="1"/>
    <xf numFmtId="164" fontId="0" fillId="0" borderId="16" xfId="1" applyNumberFormat="1" applyFont="1" applyBorder="1"/>
    <xf numFmtId="164" fontId="0" fillId="0" borderId="17" xfId="1" applyNumberFormat="1" applyFont="1" applyBorder="1"/>
    <xf numFmtId="164" fontId="0" fillId="0" borderId="8" xfId="1" applyNumberFormat="1" applyFont="1" applyBorder="1"/>
    <xf numFmtId="164" fontId="0" fillId="0" borderId="9" xfId="1" applyNumberFormat="1" applyFont="1" applyBorder="1"/>
    <xf numFmtId="164" fontId="0" fillId="0" borderId="7" xfId="1" applyNumberFormat="1" applyFont="1" applyBorder="1"/>
    <xf numFmtId="0" fontId="0" fillId="0" borderId="21" xfId="0" applyBorder="1"/>
    <xf numFmtId="0" fontId="9" fillId="0" borderId="0" xfId="2"/>
    <xf numFmtId="0" fontId="1" fillId="0" borderId="0" xfId="0" applyFont="1" applyAlignment="1">
      <alignment vertical="center"/>
    </xf>
    <xf numFmtId="0" fontId="0" fillId="5" borderId="0" xfId="0" applyFill="1"/>
    <xf numFmtId="0" fontId="10" fillId="0" borderId="0" xfId="0" applyFont="1"/>
    <xf numFmtId="0" fontId="11" fillId="0" borderId="0" xfId="0" applyFont="1"/>
    <xf numFmtId="0" fontId="12" fillId="6" borderId="22" xfId="0" applyFont="1" applyFill="1" applyBorder="1" applyAlignment="1">
      <alignment vertical="center" wrapText="1"/>
    </xf>
    <xf numFmtId="165" fontId="12" fillId="7" borderId="22" xfId="0" applyNumberFormat="1" applyFont="1" applyFill="1" applyBorder="1" applyAlignment="1">
      <alignment horizontal="right" vertical="center"/>
    </xf>
    <xf numFmtId="10" fontId="12" fillId="7" borderId="22" xfId="0" applyNumberFormat="1" applyFont="1" applyFill="1" applyBorder="1" applyAlignment="1">
      <alignment horizontal="right" vertical="center"/>
    </xf>
    <xf numFmtId="166" fontId="12" fillId="7" borderId="22" xfId="0" applyNumberFormat="1" applyFont="1" applyFill="1" applyBorder="1" applyAlignment="1">
      <alignment horizontal="right" vertical="center"/>
    </xf>
    <xf numFmtId="0" fontId="13" fillId="8" borderId="22" xfId="0" applyFont="1" applyFill="1" applyBorder="1" applyAlignment="1">
      <alignment horizontal="center" vertical="center" wrapText="1"/>
    </xf>
    <xf numFmtId="0" fontId="0" fillId="9" borderId="22" xfId="0" applyFill="1" applyBorder="1" applyAlignment="1">
      <alignment vertical="top" wrapText="1"/>
    </xf>
    <xf numFmtId="10" fontId="0" fillId="9" borderId="22" xfId="0" applyNumberFormat="1" applyFill="1" applyBorder="1" applyAlignment="1">
      <alignment vertical="top" wrapText="1"/>
    </xf>
    <xf numFmtId="165" fontId="0" fillId="9" borderId="22" xfId="0" applyNumberFormat="1" applyFill="1" applyBorder="1" applyAlignment="1">
      <alignment vertical="top" wrapText="1"/>
    </xf>
    <xf numFmtId="165" fontId="0" fillId="10" borderId="22" xfId="0" applyNumberFormat="1" applyFill="1" applyBorder="1" applyAlignment="1">
      <alignment vertical="top" wrapText="1"/>
    </xf>
    <xf numFmtId="10" fontId="0" fillId="10" borderId="22" xfId="0" applyNumberFormat="1" applyFill="1" applyBorder="1" applyAlignment="1">
      <alignment vertical="top" wrapText="1"/>
    </xf>
    <xf numFmtId="166" fontId="0" fillId="9" borderId="22" xfId="0" applyNumberFormat="1" applyFill="1" applyBorder="1" applyAlignment="1">
      <alignment vertical="top" wrapText="1"/>
    </xf>
    <xf numFmtId="0" fontId="12" fillId="11" borderId="22" xfId="0" applyFont="1" applyFill="1" applyBorder="1" applyAlignment="1">
      <alignment vertical="center" wrapText="1"/>
    </xf>
    <xf numFmtId="10" fontId="12" fillId="11" borderId="22" xfId="0" applyNumberFormat="1" applyFont="1" applyFill="1" applyBorder="1" applyAlignment="1">
      <alignment vertical="center" wrapText="1"/>
    </xf>
    <xf numFmtId="165" fontId="12" fillId="11" borderId="22" xfId="0" applyNumberFormat="1" applyFont="1" applyFill="1" applyBorder="1" applyAlignment="1">
      <alignment vertical="center" wrapText="1"/>
    </xf>
    <xf numFmtId="166" fontId="12" fillId="11" borderId="22" xfId="0" applyNumberFormat="1" applyFont="1" applyFill="1" applyBorder="1" applyAlignment="1">
      <alignment vertical="center" wrapText="1"/>
    </xf>
  </cellXfs>
  <cellStyles count="3">
    <cellStyle name="Link" xfId="2" builtinId="8"/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babaduk94@hotmail.com" TargetMode="External"/><Relationship Id="rId1" Type="http://schemas.openxmlformats.org/officeDocument/2006/relationships/hyperlink" Target="mailto:azadtugba4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"/>
  <sheetViews>
    <sheetView zoomScaleNormal="100" workbookViewId="0">
      <selection activeCell="E9" sqref="E9"/>
    </sheetView>
  </sheetViews>
  <sheetFormatPr baseColWidth="10" defaultColWidth="11" defaultRowHeight="16" x14ac:dyDescent="0.2"/>
  <cols>
    <col min="1" max="1" width="10.33203125" customWidth="1"/>
    <col min="2" max="2" width="17.33203125" bestFit="1" customWidth="1"/>
    <col min="3" max="3" width="19.83203125" customWidth="1"/>
    <col min="5" max="5" width="19.6640625" customWidth="1"/>
    <col min="6" max="6" width="15.1640625" customWidth="1"/>
    <col min="7" max="7" width="9" customWidth="1"/>
    <col min="8" max="8" width="10.5" customWidth="1"/>
    <col min="9" max="9" width="9.33203125" customWidth="1"/>
    <col min="11" max="11" width="11.6640625" customWidth="1"/>
    <col min="12" max="12" width="17.1640625" bestFit="1" customWidth="1"/>
    <col min="13" max="13" width="17.83203125" bestFit="1" customWidth="1"/>
    <col min="14" max="14" width="17.1640625" bestFit="1" customWidth="1"/>
    <col min="15" max="15" width="17.83203125" bestFit="1" customWidth="1"/>
  </cols>
  <sheetData>
    <row r="1" spans="1:15" s="6" customFormat="1" x14ac:dyDescent="0.2">
      <c r="A1" s="2" t="s">
        <v>39</v>
      </c>
    </row>
    <row r="2" spans="1:15" s="29" customFormat="1" x14ac:dyDescent="0.2">
      <c r="A2" s="29" t="s">
        <v>40</v>
      </c>
      <c r="B2" s="29" t="s">
        <v>41</v>
      </c>
      <c r="C2" s="29" t="s">
        <v>42</v>
      </c>
      <c r="D2" s="29" t="s">
        <v>43</v>
      </c>
      <c r="E2" s="29" t="s">
        <v>44</v>
      </c>
      <c r="F2" s="29" t="s">
        <v>45</v>
      </c>
      <c r="G2" s="29" t="s">
        <v>46</v>
      </c>
      <c r="H2" s="29" t="s">
        <v>47</v>
      </c>
      <c r="I2" s="29" t="s">
        <v>48</v>
      </c>
      <c r="J2" s="29" t="s">
        <v>49</v>
      </c>
      <c r="K2" s="29" t="s">
        <v>50</v>
      </c>
      <c r="L2" s="29" t="s">
        <v>51</v>
      </c>
      <c r="M2" s="29" t="s">
        <v>52</v>
      </c>
      <c r="N2" s="29" t="s">
        <v>53</v>
      </c>
      <c r="O2" s="29" t="s">
        <v>52</v>
      </c>
    </row>
    <row r="3" spans="1:15" x14ac:dyDescent="0.2">
      <c r="A3" t="s">
        <v>54</v>
      </c>
      <c r="B3" t="s">
        <v>55</v>
      </c>
      <c r="C3" s="1" t="s">
        <v>30</v>
      </c>
      <c r="D3" s="5"/>
      <c r="E3" t="s">
        <v>56</v>
      </c>
      <c r="F3" t="s">
        <v>57</v>
      </c>
      <c r="G3">
        <v>1000</v>
      </c>
      <c r="H3">
        <v>250</v>
      </c>
      <c r="I3" s="48">
        <v>320</v>
      </c>
      <c r="J3">
        <v>0</v>
      </c>
      <c r="K3">
        <f>SUM(G3+I3)</f>
        <v>1320</v>
      </c>
      <c r="L3" s="3">
        <v>-476.55</v>
      </c>
      <c r="M3" t="s">
        <v>58</v>
      </c>
    </row>
    <row r="4" spans="1:15" x14ac:dyDescent="0.2">
      <c r="A4" t="s">
        <v>59</v>
      </c>
      <c r="B4" t="s">
        <v>60</v>
      </c>
      <c r="C4" s="1" t="s">
        <v>30</v>
      </c>
      <c r="E4" t="s">
        <v>61</v>
      </c>
      <c r="F4" t="s">
        <v>62</v>
      </c>
      <c r="G4">
        <v>600</v>
      </c>
      <c r="H4">
        <v>230</v>
      </c>
      <c r="I4" s="48">
        <v>270</v>
      </c>
      <c r="J4">
        <v>1</v>
      </c>
      <c r="K4">
        <v>830</v>
      </c>
    </row>
    <row r="5" spans="1:15" x14ac:dyDescent="0.2">
      <c r="A5" t="s">
        <v>63</v>
      </c>
      <c r="B5" t="s">
        <v>64</v>
      </c>
      <c r="C5" s="1" t="s">
        <v>30</v>
      </c>
      <c r="D5" s="5"/>
      <c r="E5" s="46" t="s">
        <v>65</v>
      </c>
      <c r="F5" t="s">
        <v>66</v>
      </c>
      <c r="G5">
        <v>600</v>
      </c>
      <c r="H5">
        <v>125</v>
      </c>
      <c r="I5" s="48">
        <v>300</v>
      </c>
      <c r="J5">
        <v>2</v>
      </c>
      <c r="K5">
        <f>SUM(G5+I5)</f>
        <v>900</v>
      </c>
      <c r="L5">
        <v>230.43</v>
      </c>
      <c r="M5" t="s">
        <v>67</v>
      </c>
    </row>
    <row r="6" spans="1:15" x14ac:dyDescent="0.2">
      <c r="A6" t="s">
        <v>68</v>
      </c>
      <c r="B6" t="s">
        <v>69</v>
      </c>
      <c r="C6" s="1" t="s">
        <v>30</v>
      </c>
      <c r="D6" s="5"/>
      <c r="E6" t="s">
        <v>70</v>
      </c>
      <c r="F6" t="s">
        <v>71</v>
      </c>
      <c r="G6">
        <v>295</v>
      </c>
      <c r="H6">
        <v>100</v>
      </c>
      <c r="I6" s="48">
        <v>190</v>
      </c>
      <c r="J6">
        <v>3</v>
      </c>
      <c r="K6">
        <f>SUM(G6+I6)</f>
        <v>485</v>
      </c>
      <c r="L6">
        <v>72.900000000000006</v>
      </c>
      <c r="M6" s="4">
        <v>44601</v>
      </c>
    </row>
    <row r="7" spans="1:15" x14ac:dyDescent="0.2">
      <c r="A7" t="s">
        <v>33</v>
      </c>
      <c r="B7" t="s">
        <v>72</v>
      </c>
      <c r="C7" s="47" t="s">
        <v>32</v>
      </c>
      <c r="D7" s="5"/>
      <c r="E7" s="46" t="s">
        <v>73</v>
      </c>
      <c r="G7">
        <v>750</v>
      </c>
      <c r="H7">
        <v>300</v>
      </c>
      <c r="I7">
        <v>300</v>
      </c>
      <c r="J7">
        <v>2</v>
      </c>
      <c r="K7">
        <f>G7+I7</f>
        <v>1050</v>
      </c>
      <c r="M7" s="4"/>
    </row>
    <row r="8" spans="1:15" x14ac:dyDescent="0.2">
      <c r="A8" t="s">
        <v>35</v>
      </c>
      <c r="B8" t="s">
        <v>74</v>
      </c>
      <c r="C8" s="17" t="s">
        <v>34</v>
      </c>
      <c r="G8">
        <f>924.08+50</f>
        <v>974.08</v>
      </c>
      <c r="H8">
        <v>250</v>
      </c>
      <c r="I8">
        <v>280</v>
      </c>
      <c r="J8">
        <v>1</v>
      </c>
      <c r="K8">
        <f>G8+I8</f>
        <v>1254.08</v>
      </c>
    </row>
    <row r="9" spans="1:15" x14ac:dyDescent="0.2">
      <c r="A9" t="s">
        <v>37</v>
      </c>
      <c r="B9" t="s">
        <v>75</v>
      </c>
      <c r="C9" s="47" t="s">
        <v>36</v>
      </c>
      <c r="G9">
        <v>750</v>
      </c>
      <c r="H9">
        <v>200</v>
      </c>
      <c r="I9" s="48">
        <v>200</v>
      </c>
      <c r="J9">
        <v>0</v>
      </c>
      <c r="K9">
        <f>+I9+G9</f>
        <v>950</v>
      </c>
    </row>
    <row r="10" spans="1:15" s="13" customFormat="1" x14ac:dyDescent="0.2">
      <c r="A10" s="12" t="s">
        <v>76</v>
      </c>
    </row>
    <row r="11" spans="1:15" x14ac:dyDescent="0.2">
      <c r="A11" t="s">
        <v>77</v>
      </c>
      <c r="B11" t="s">
        <v>78</v>
      </c>
      <c r="C11" s="1" t="s">
        <v>79</v>
      </c>
      <c r="D11" s="5" t="s">
        <v>80</v>
      </c>
      <c r="F11" t="s">
        <v>81</v>
      </c>
      <c r="G11">
        <v>490</v>
      </c>
      <c r="H11">
        <v>70</v>
      </c>
      <c r="I11">
        <v>110</v>
      </c>
      <c r="J11">
        <v>1</v>
      </c>
      <c r="K11">
        <f>SUM(G11+I11)</f>
        <v>600</v>
      </c>
      <c r="L11">
        <v>399.81</v>
      </c>
      <c r="M11" s="4">
        <v>44694</v>
      </c>
    </row>
    <row r="15" spans="1:15" s="6" customFormat="1" x14ac:dyDescent="0.2">
      <c r="A15" s="2" t="s">
        <v>82</v>
      </c>
      <c r="L15" s="2" t="s">
        <v>83</v>
      </c>
    </row>
    <row r="16" spans="1:15" s="29" customFormat="1" x14ac:dyDescent="0.2">
      <c r="A16" s="30" t="s">
        <v>40</v>
      </c>
      <c r="B16" s="29" t="s">
        <v>84</v>
      </c>
      <c r="C16" s="30" t="s">
        <v>85</v>
      </c>
      <c r="D16" s="31" t="s">
        <v>86</v>
      </c>
      <c r="E16" s="29" t="s">
        <v>85</v>
      </c>
      <c r="F16" s="29" t="s">
        <v>86</v>
      </c>
      <c r="G16" s="29" t="s">
        <v>85</v>
      </c>
      <c r="H16" s="29" t="s">
        <v>86</v>
      </c>
      <c r="I16" s="29" t="s">
        <v>85</v>
      </c>
      <c r="J16" s="30" t="s">
        <v>87</v>
      </c>
      <c r="L16" s="29" t="s">
        <v>88</v>
      </c>
      <c r="M16" s="29" t="s">
        <v>89</v>
      </c>
      <c r="N16" s="29" t="s">
        <v>88</v>
      </c>
      <c r="O16" s="29" t="s">
        <v>90</v>
      </c>
    </row>
    <row r="17" spans="1:13" x14ac:dyDescent="0.2">
      <c r="A17" s="7" t="s">
        <v>54</v>
      </c>
      <c r="C17" s="7">
        <v>0</v>
      </c>
      <c r="D17" s="8">
        <v>44012</v>
      </c>
      <c r="E17">
        <v>1250</v>
      </c>
      <c r="J17" s="7"/>
    </row>
    <row r="18" spans="1:13" x14ac:dyDescent="0.2">
      <c r="A18" s="7" t="s">
        <v>59</v>
      </c>
      <c r="C18" s="7"/>
      <c r="D18" s="4">
        <v>44805</v>
      </c>
      <c r="E18">
        <v>830</v>
      </c>
      <c r="J18" s="7"/>
    </row>
    <row r="19" spans="1:13" x14ac:dyDescent="0.2">
      <c r="A19" s="7" t="s">
        <v>63</v>
      </c>
      <c r="B19" s="4">
        <v>43973</v>
      </c>
      <c r="C19" s="7">
        <v>700</v>
      </c>
      <c r="D19" s="8">
        <v>44011</v>
      </c>
      <c r="E19">
        <v>700</v>
      </c>
      <c r="F19" s="4">
        <v>44607</v>
      </c>
      <c r="G19">
        <v>750</v>
      </c>
      <c r="J19" s="7"/>
    </row>
    <row r="20" spans="1:13" x14ac:dyDescent="0.2">
      <c r="A20" s="7" t="s">
        <v>68</v>
      </c>
      <c r="C20" s="7" t="s">
        <v>91</v>
      </c>
      <c r="D20" s="8">
        <v>44043</v>
      </c>
      <c r="E20">
        <v>395</v>
      </c>
      <c r="F20" s="4">
        <v>44620</v>
      </c>
      <c r="G20">
        <v>415</v>
      </c>
      <c r="J20" s="7"/>
      <c r="L20" s="4">
        <v>44601</v>
      </c>
      <c r="M20">
        <v>72.900000000000006</v>
      </c>
    </row>
    <row r="21" spans="1:13" x14ac:dyDescent="0.2">
      <c r="A21" s="45" t="s">
        <v>35</v>
      </c>
      <c r="B21" s="4">
        <v>44211</v>
      </c>
      <c r="C21">
        <v>1500</v>
      </c>
      <c r="D21" s="4">
        <v>44712</v>
      </c>
      <c r="E21">
        <v>1170.78</v>
      </c>
      <c r="F21" s="4">
        <v>45049</v>
      </c>
      <c r="G21">
        <v>1218.2</v>
      </c>
      <c r="H21" s="4">
        <v>45385</v>
      </c>
      <c r="I21">
        <v>1235.96</v>
      </c>
      <c r="J21" s="45"/>
    </row>
    <row r="22" spans="1:13" s="13" customFormat="1" x14ac:dyDescent="0.2">
      <c r="A22" s="14" t="s">
        <v>76</v>
      </c>
      <c r="C22" s="15"/>
      <c r="D22" s="16"/>
      <c r="J22" s="15"/>
    </row>
    <row r="23" spans="1:13" x14ac:dyDescent="0.2">
      <c r="A23" s="7" t="s">
        <v>77</v>
      </c>
      <c r="C23" s="7">
        <v>0</v>
      </c>
      <c r="D23" s="8">
        <v>44105</v>
      </c>
      <c r="E23">
        <v>560</v>
      </c>
      <c r="J23" s="10">
        <v>44713</v>
      </c>
      <c r="L23" s="4">
        <v>44694</v>
      </c>
      <c r="M23">
        <v>399.81</v>
      </c>
    </row>
    <row r="24" spans="1:13" x14ac:dyDescent="0.2">
      <c r="A24" s="7"/>
      <c r="C24" s="7"/>
      <c r="D24" s="9"/>
      <c r="J24" s="7"/>
    </row>
    <row r="25" spans="1:13" x14ac:dyDescent="0.2">
      <c r="A25" s="7"/>
      <c r="C25" s="7"/>
      <c r="D25" s="9"/>
      <c r="J25" s="7"/>
    </row>
    <row r="26" spans="1:13" x14ac:dyDescent="0.2">
      <c r="A26" s="7"/>
      <c r="C26" s="7"/>
      <c r="D26" s="9"/>
      <c r="J26" s="7"/>
    </row>
    <row r="27" spans="1:13" x14ac:dyDescent="0.2">
      <c r="A27" s="7"/>
      <c r="C27" s="7"/>
      <c r="D27" s="9"/>
      <c r="J27" s="7"/>
    </row>
    <row r="29" spans="1:13" ht="144" customHeight="1" x14ac:dyDescent="0.2">
      <c r="A29" t="s">
        <v>92</v>
      </c>
      <c r="B29" s="11" t="s">
        <v>93</v>
      </c>
    </row>
    <row r="30" spans="1:13" x14ac:dyDescent="0.2">
      <c r="B30" s="11"/>
    </row>
    <row r="31" spans="1:13" ht="144" customHeight="1" x14ac:dyDescent="0.2">
      <c r="B31" s="11" t="s">
        <v>94</v>
      </c>
    </row>
  </sheetData>
  <hyperlinks>
    <hyperlink ref="E5" r:id="rId1" xr:uid="{00000000-0004-0000-0000-000000000000}"/>
    <hyperlink ref="E7" r:id="rId2" xr:uid="{00000000-0004-0000-0000-000001000000}"/>
  </hyperlinks>
  <pageMargins left="0.7" right="0.7" top="0.78740157499999996" bottom="0.78740157499999996" header="0.3" footer="0.3"/>
  <pageSetup paperSize="9" orientation="portrait" horizontalDpi="1200" verticalDpi="1200"/>
  <headerFooter>
    <oddHeader>&amp;R&amp;"Aptos"&amp;12&amp;K0000FF C2&amp;1#_x000D_&amp;"Calibri"&amp;12&amp;K000000&amp;"Calibri"&amp;12&amp;K000000&amp;"Calibri"&amp;1 &amp;K0000FF C2#_x000D_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1"/>
  <sheetViews>
    <sheetView showGridLines="0" workbookViewId="0">
      <selection activeCell="E27" sqref="E27"/>
    </sheetView>
  </sheetViews>
  <sheetFormatPr baseColWidth="10" defaultColWidth="11" defaultRowHeight="16" x14ac:dyDescent="0.2"/>
  <cols>
    <col min="1" max="1" width="2.6640625" customWidth="1"/>
    <col min="3" max="3" width="19.1640625" bestFit="1" customWidth="1"/>
    <col min="4" max="4" width="32.1640625" bestFit="1" customWidth="1"/>
    <col min="5" max="7" width="13.1640625" bestFit="1" customWidth="1"/>
    <col min="8" max="8" width="3.5" customWidth="1"/>
    <col min="9" max="9" width="9.83203125" customWidth="1"/>
    <col min="10" max="10" width="10.6640625" bestFit="1" customWidth="1"/>
    <col min="11" max="11" width="12.5" customWidth="1"/>
    <col min="12" max="12" width="13.33203125" customWidth="1"/>
  </cols>
  <sheetData>
    <row r="1" spans="1:12" ht="22" customHeight="1" thickBot="1" x14ac:dyDescent="0.3">
      <c r="A1" s="18" t="s">
        <v>95</v>
      </c>
      <c r="K1" s="33" t="s">
        <v>96</v>
      </c>
    </row>
    <row r="2" spans="1:12" s="19" customFormat="1" x14ac:dyDescent="0.2">
      <c r="B2" s="26" t="str">
        <f>Rohdaten!A2</f>
        <v>Name</v>
      </c>
      <c r="C2" s="27" t="str">
        <f>Rohdaten!B2</f>
        <v>Vorname</v>
      </c>
      <c r="D2" s="27" t="str">
        <f>Rohdaten!C2</f>
        <v>Adresse</v>
      </c>
      <c r="E2" s="27" t="str">
        <f>Rohdaten!G2</f>
        <v>Kaltmiete</v>
      </c>
      <c r="F2" s="27" t="s">
        <v>97</v>
      </c>
      <c r="G2" s="28" t="str">
        <f>Rohdaten!K2</f>
        <v>Gesamtmiete</v>
      </c>
      <c r="I2" s="26" t="s">
        <v>12</v>
      </c>
      <c r="J2" s="27" t="s">
        <v>46</v>
      </c>
      <c r="K2" s="27" t="s">
        <v>97</v>
      </c>
      <c r="L2" s="28" t="s">
        <v>50</v>
      </c>
    </row>
    <row r="3" spans="1:12" x14ac:dyDescent="0.2">
      <c r="B3" s="23" t="str">
        <f>Rohdaten!A3</f>
        <v>Zöller</v>
      </c>
      <c r="C3" s="20" t="str">
        <f>Rohdaten!B3</f>
        <v>Georg und Margred</v>
      </c>
      <c r="D3" s="20" t="str">
        <f>Rohdaten!C3</f>
        <v>Karlshafenerstraße 17, 34128 Kassel</v>
      </c>
      <c r="E3" s="38">
        <f>Rohdaten!G3</f>
        <v>1000</v>
      </c>
      <c r="F3" s="38">
        <f>Rohdaten!I3</f>
        <v>320</v>
      </c>
      <c r="G3" s="39">
        <f>Rohdaten!K3</f>
        <v>1320</v>
      </c>
      <c r="I3" s="36">
        <f>1/2</f>
        <v>0.5</v>
      </c>
      <c r="J3" s="38">
        <f t="shared" ref="J3:J9" si="0">E3*I3</f>
        <v>500</v>
      </c>
      <c r="K3" s="38">
        <f t="shared" ref="K3:K9" si="1">I3*F3</f>
        <v>160</v>
      </c>
      <c r="L3" s="39">
        <f t="shared" ref="L3:L9" si="2">I3*G3</f>
        <v>660</v>
      </c>
    </row>
    <row r="4" spans="1:12" x14ac:dyDescent="0.2">
      <c r="B4" s="23" t="str">
        <f>Rohdaten!A4</f>
        <v>Kozakevych</v>
      </c>
      <c r="C4" s="20" t="str">
        <f>Rohdaten!B4</f>
        <v>Oleksandr und Maryna</v>
      </c>
      <c r="D4" s="20" t="str">
        <f>Rohdaten!C4</f>
        <v>Karlshafenerstraße 17, 34128 Kassel</v>
      </c>
      <c r="E4" s="38">
        <f>Rohdaten!G4</f>
        <v>600</v>
      </c>
      <c r="F4" s="38">
        <f>Rohdaten!I4</f>
        <v>270</v>
      </c>
      <c r="G4" s="39">
        <f>Rohdaten!K4</f>
        <v>830</v>
      </c>
      <c r="I4" s="36">
        <f>1/2</f>
        <v>0.5</v>
      </c>
      <c r="J4" s="38">
        <f t="shared" si="0"/>
        <v>300</v>
      </c>
      <c r="K4" s="38">
        <f t="shared" si="1"/>
        <v>135</v>
      </c>
      <c r="L4" s="39">
        <f t="shared" si="2"/>
        <v>415</v>
      </c>
    </row>
    <row r="5" spans="1:12" x14ac:dyDescent="0.2">
      <c r="B5" s="23" t="str">
        <f>Rohdaten!A5</f>
        <v>Akinci</v>
      </c>
      <c r="C5" s="20" t="str">
        <f>Rohdaten!B5</f>
        <v>Azad</v>
      </c>
      <c r="D5" s="20" t="str">
        <f>Rohdaten!C5</f>
        <v>Karlshafenerstraße 17, 34128 Kassel</v>
      </c>
      <c r="E5" s="38">
        <f>Rohdaten!G5</f>
        <v>600</v>
      </c>
      <c r="F5" s="38">
        <f>Rohdaten!I5</f>
        <v>300</v>
      </c>
      <c r="G5" s="39">
        <f>Rohdaten!K5</f>
        <v>900</v>
      </c>
      <c r="I5" s="36">
        <f>1/2</f>
        <v>0.5</v>
      </c>
      <c r="J5" s="38">
        <f t="shared" si="0"/>
        <v>300</v>
      </c>
      <c r="K5" s="38">
        <f t="shared" si="1"/>
        <v>150</v>
      </c>
      <c r="L5" s="39">
        <f t="shared" si="2"/>
        <v>450</v>
      </c>
    </row>
    <row r="6" spans="1:12" x14ac:dyDescent="0.2">
      <c r="B6" s="23" t="str">
        <f>Rohdaten!A6</f>
        <v>Hamich</v>
      </c>
      <c r="C6" s="20" t="str">
        <f>Rohdaten!B6</f>
        <v>Adam</v>
      </c>
      <c r="D6" s="20" t="str">
        <f>Rohdaten!C6</f>
        <v>Karlshafenerstraße 17, 34128 Kassel</v>
      </c>
      <c r="E6" s="38">
        <f>Rohdaten!G6</f>
        <v>295</v>
      </c>
      <c r="F6" s="38">
        <f>Rohdaten!I6</f>
        <v>190</v>
      </c>
      <c r="G6" s="39">
        <f>Rohdaten!K6</f>
        <v>485</v>
      </c>
      <c r="I6" s="36">
        <f>1/2</f>
        <v>0.5</v>
      </c>
      <c r="J6" s="38">
        <f t="shared" si="0"/>
        <v>147.5</v>
      </c>
      <c r="K6" s="38">
        <f t="shared" si="1"/>
        <v>95</v>
      </c>
      <c r="L6" s="39">
        <f t="shared" si="2"/>
        <v>242.5</v>
      </c>
    </row>
    <row r="7" spans="1:12" x14ac:dyDescent="0.2">
      <c r="B7" s="23" t="str">
        <f>Rohdaten!A7</f>
        <v>Baba</v>
      </c>
      <c r="C7" s="20" t="str">
        <f>Rohdaten!B7</f>
        <v>Duk</v>
      </c>
      <c r="D7" s="20" t="str">
        <f>Rohdaten!C7</f>
        <v>Wilhelmshöherallee 200, 34119 Kassel</v>
      </c>
      <c r="E7" s="38">
        <f>Rohdaten!G7</f>
        <v>750</v>
      </c>
      <c r="F7" s="38">
        <f>Rohdaten!I7</f>
        <v>300</v>
      </c>
      <c r="G7" s="39">
        <f>Rohdaten!K7</f>
        <v>1050</v>
      </c>
      <c r="I7" s="36">
        <f>1/2</f>
        <v>0.5</v>
      </c>
      <c r="J7" s="38">
        <f t="shared" si="0"/>
        <v>375</v>
      </c>
      <c r="K7" s="38">
        <f t="shared" si="1"/>
        <v>150</v>
      </c>
      <c r="L7" s="39">
        <f t="shared" si="2"/>
        <v>525</v>
      </c>
    </row>
    <row r="8" spans="1:12" x14ac:dyDescent="0.2">
      <c r="B8" s="23" t="str">
        <f>Rohdaten!A8</f>
        <v>Radtke</v>
      </c>
      <c r="C8" s="20" t="str">
        <f>Rohdaten!B8</f>
        <v>Marcel</v>
      </c>
      <c r="D8" s="20" t="str">
        <f>Rohdaten!C8</f>
        <v>Heestweg 2, 22143 Hamburg</v>
      </c>
      <c r="E8" s="38">
        <f>Rohdaten!G8</f>
        <v>974.08</v>
      </c>
      <c r="F8" s="38">
        <f>Rohdaten!I8</f>
        <v>280</v>
      </c>
      <c r="G8" s="39">
        <f>Rohdaten!K8</f>
        <v>1254.08</v>
      </c>
      <c r="I8" s="36">
        <f>1/3</f>
        <v>0.33333333333333331</v>
      </c>
      <c r="J8" s="38">
        <f t="shared" si="0"/>
        <v>324.69333333333333</v>
      </c>
      <c r="K8" s="38">
        <f t="shared" si="1"/>
        <v>93.333333333333329</v>
      </c>
      <c r="L8" s="39">
        <f t="shared" si="2"/>
        <v>418.02666666666664</v>
      </c>
    </row>
    <row r="9" spans="1:12" ht="17" customHeight="1" thickBot="1" x14ac:dyDescent="0.25">
      <c r="B9" s="24" t="str">
        <f>Rohdaten!A9</f>
        <v>Al-Othman</v>
      </c>
      <c r="C9" s="25" t="str">
        <f>Rohdaten!B9</f>
        <v>Mahmoud und Ali</v>
      </c>
      <c r="D9" s="25" t="str">
        <f>Rohdaten!C9</f>
        <v>Nebelthaustraße 12, Kassel</v>
      </c>
      <c r="E9" s="40">
        <f>Rohdaten!G9</f>
        <v>750</v>
      </c>
      <c r="F9" s="40">
        <f>Rohdaten!I9</f>
        <v>200</v>
      </c>
      <c r="G9" s="41">
        <f>Rohdaten!K9</f>
        <v>950</v>
      </c>
      <c r="I9" s="37">
        <f>1/2</f>
        <v>0.5</v>
      </c>
      <c r="J9" s="40">
        <f t="shared" si="0"/>
        <v>375</v>
      </c>
      <c r="K9" s="40">
        <f t="shared" si="1"/>
        <v>100</v>
      </c>
      <c r="L9" s="41">
        <f t="shared" si="2"/>
        <v>475</v>
      </c>
    </row>
    <row r="10" spans="1:12" ht="17" customHeight="1" thickBot="1" x14ac:dyDescent="0.25">
      <c r="J10" s="34"/>
      <c r="K10" s="32"/>
      <c r="L10" s="35"/>
    </row>
    <row r="11" spans="1:12" ht="17" customHeight="1" thickBot="1" x14ac:dyDescent="0.25">
      <c r="B11" s="21"/>
      <c r="C11" s="22"/>
      <c r="D11" s="22"/>
      <c r="E11" s="42">
        <f>SUM(E3:E9)</f>
        <v>4969.08</v>
      </c>
      <c r="F11" s="42">
        <f>SUM(F3:F9)</f>
        <v>1860</v>
      </c>
      <c r="G11" s="43">
        <f>SUM(G3:G9)</f>
        <v>6789.08</v>
      </c>
      <c r="J11" s="44">
        <f>SUM(J3:J9)</f>
        <v>2322.1933333333336</v>
      </c>
      <c r="K11" s="42">
        <f>SUM(K3:K9)</f>
        <v>883.33333333333337</v>
      </c>
      <c r="L11" s="43">
        <f>SUM(L3:L9)</f>
        <v>3185.5266666666666</v>
      </c>
    </row>
  </sheetData>
  <pageMargins left="0.7" right="0.7" top="0.75" bottom="0.75" header="0.3" footer="0.3"/>
  <headerFooter>
    <oddHeader>&amp;R&amp;"Aptos"&amp;12&amp;K0000FF C2&amp;1#_x000D_&amp;"Calibri"&amp;12&amp;K000000&amp;"Aptos"&amp;1 &amp;K0000FF C2#_x000D_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E78"/>
    <pageSetUpPr fitToPage="1"/>
  </sheetPr>
  <dimension ref="A1:X11"/>
  <sheetViews>
    <sheetView showGridLines="0" tabSelected="1" workbookViewId="0">
      <pane ySplit="6" topLeftCell="A7" activePane="bottomLeft" state="frozen"/>
      <selection pane="bottomLeft" activeCell="O16" sqref="O16"/>
    </sheetView>
  </sheetViews>
  <sheetFormatPr baseColWidth="10" defaultColWidth="8.83203125" defaultRowHeight="16" x14ac:dyDescent="0.2"/>
  <cols>
    <col min="1" max="1" width="34" customWidth="1"/>
    <col min="2" max="2" width="30" customWidth="1"/>
    <col min="3" max="3" width="17.83203125" customWidth="1"/>
    <col min="4" max="4" width="15" customWidth="1"/>
    <col min="5" max="5" width="18.6640625" customWidth="1"/>
    <col min="6" max="6" width="16" customWidth="1"/>
    <col min="7" max="7" width="17.83203125" customWidth="1"/>
    <col min="8" max="11" width="15" customWidth="1"/>
    <col min="12" max="12" width="10" customWidth="1"/>
    <col min="13" max="13" width="16" customWidth="1"/>
    <col min="14" max="15" width="17" customWidth="1"/>
    <col min="16" max="17" width="16" customWidth="1"/>
    <col min="18" max="18" width="15.1640625" customWidth="1"/>
    <col min="19" max="19" width="14" customWidth="1"/>
    <col min="20" max="20" width="16" customWidth="1"/>
    <col min="21" max="22" width="17" customWidth="1"/>
    <col min="23" max="23" width="16" customWidth="1"/>
    <col min="24" max="24" width="17" customWidth="1"/>
  </cols>
  <sheetData>
    <row r="1" spans="1:24" ht="28" customHeight="1" x14ac:dyDescent="0.3">
      <c r="A1" s="49" t="s">
        <v>0</v>
      </c>
    </row>
    <row r="2" spans="1:24" ht="15" customHeight="1" x14ac:dyDescent="0.2">
      <c r="A2" s="50" t="s">
        <v>1</v>
      </c>
    </row>
    <row r="3" spans="1:24" ht="11" customHeight="1" x14ac:dyDescent="0.2"/>
    <row r="4" spans="1:24" ht="34" x14ac:dyDescent="0.2">
      <c r="A4" s="51" t="s">
        <v>2</v>
      </c>
      <c r="B4" s="52">
        <f>SUM(G7:G10)</f>
        <v>27866.32</v>
      </c>
      <c r="C4" s="51" t="s">
        <v>3</v>
      </c>
      <c r="D4" s="52">
        <f>SUM(M7:M10)</f>
        <v>6731.5333333333328</v>
      </c>
      <c r="E4" s="51" t="s">
        <v>4</v>
      </c>
      <c r="F4" s="52">
        <f>SUM(O7:O10)</f>
        <v>1900</v>
      </c>
      <c r="G4" s="51" t="s">
        <v>5</v>
      </c>
      <c r="H4" s="52">
        <f>SUM(V7:V10)</f>
        <v>19234.786666666667</v>
      </c>
    </row>
    <row r="5" spans="1:24" ht="34" x14ac:dyDescent="0.2">
      <c r="A5" s="51" t="s">
        <v>6</v>
      </c>
      <c r="B5" s="53">
        <f>IFERROR(AVERAGE(S7:S10),"")</f>
        <v>4.9279776623376619E-2</v>
      </c>
      <c r="C5" s="51" t="s">
        <v>7</v>
      </c>
      <c r="D5" s="53">
        <f>IFERROR(AVERAGE(U7:U10),"")</f>
        <v>4.9279776623376619E-2</v>
      </c>
      <c r="E5" s="51" t="s">
        <v>8</v>
      </c>
      <c r="F5" s="53">
        <f>IFERROR(AVERAGE(X7:X10),"")</f>
        <v>0.10861416998671979</v>
      </c>
      <c r="G5" s="51" t="s">
        <v>9</v>
      </c>
      <c r="H5" s="54">
        <f>IFERROR(AVERAGE(R7:R10),"")</f>
        <v>21.522658719029533</v>
      </c>
    </row>
    <row r="6" spans="1:24" ht="45" customHeight="1" x14ac:dyDescent="0.2">
      <c r="A6" s="55" t="s">
        <v>10</v>
      </c>
      <c r="B6" s="55" t="s">
        <v>11</v>
      </c>
      <c r="C6" s="55" t="s">
        <v>12</v>
      </c>
      <c r="D6" s="55" t="s">
        <v>13</v>
      </c>
      <c r="E6" s="55" t="s">
        <v>14</v>
      </c>
      <c r="F6" s="55" t="s">
        <v>15</v>
      </c>
      <c r="G6" s="55" t="s">
        <v>2</v>
      </c>
      <c r="H6" s="55" t="s">
        <v>16</v>
      </c>
      <c r="I6" s="55" t="s">
        <v>17</v>
      </c>
      <c r="J6" s="55" t="s">
        <v>18</v>
      </c>
      <c r="K6" s="55" t="s">
        <v>19</v>
      </c>
      <c r="L6" s="55" t="s">
        <v>20</v>
      </c>
      <c r="M6" s="55" t="s">
        <v>3</v>
      </c>
      <c r="N6" s="55" t="s">
        <v>21</v>
      </c>
      <c r="O6" s="55" t="s">
        <v>4</v>
      </c>
      <c r="P6" s="55" t="s">
        <v>22</v>
      </c>
      <c r="Q6" s="55" t="s">
        <v>23</v>
      </c>
      <c r="R6" s="55" t="s">
        <v>24</v>
      </c>
      <c r="S6" s="55" t="s">
        <v>25</v>
      </c>
      <c r="T6" s="55" t="s">
        <v>26</v>
      </c>
      <c r="U6" s="55" t="s">
        <v>27</v>
      </c>
      <c r="V6" s="55" t="s">
        <v>5</v>
      </c>
      <c r="W6" s="55" t="s">
        <v>28</v>
      </c>
      <c r="X6" s="55" t="s">
        <v>29</v>
      </c>
    </row>
    <row r="7" spans="1:24" ht="24" customHeight="1" x14ac:dyDescent="0.2">
      <c r="A7" s="56" t="s">
        <v>30</v>
      </c>
      <c r="B7" s="56" t="s">
        <v>31</v>
      </c>
      <c r="C7" s="57">
        <f>IFERROR(F7/D7,"")</f>
        <v>0.5</v>
      </c>
      <c r="D7" s="58">
        <f>SUM(Mieterliste!$E$3:$E$6)</f>
        <v>2495</v>
      </c>
      <c r="E7" s="58">
        <f>D7*12</f>
        <v>29940</v>
      </c>
      <c r="F7" s="58">
        <f>SUM(Mieterliste!$J$3:$J$6)</f>
        <v>1247.5</v>
      </c>
      <c r="G7" s="58">
        <f>F7*12</f>
        <v>14970</v>
      </c>
      <c r="H7" s="59">
        <v>550000</v>
      </c>
      <c r="I7" s="58">
        <f>IF(H7="","",H7*C7)</f>
        <v>275000</v>
      </c>
      <c r="J7" s="59">
        <v>450000</v>
      </c>
      <c r="K7" s="58">
        <f>IF(J7="","",J7*C7)</f>
        <v>225000</v>
      </c>
      <c r="L7" s="60">
        <v>1.5699999999999999E-2</v>
      </c>
      <c r="M7" s="58">
        <f>IF(OR(K7="",L7=""),"",K7*L7)</f>
        <v>3532.4999999999995</v>
      </c>
      <c r="N7" s="59">
        <v>2000</v>
      </c>
      <c r="O7" s="58">
        <f>IF(N7="",0,N7*C7)</f>
        <v>1000</v>
      </c>
      <c r="P7" s="59"/>
      <c r="Q7" s="58">
        <f>IF(P7="",0,P7*C7)</f>
        <v>0</v>
      </c>
      <c r="R7" s="61">
        <f>IFERROR(H7/E7,"")</f>
        <v>18.370073480293922</v>
      </c>
      <c r="S7" s="57">
        <f>IFERROR(E7/H7,"")</f>
        <v>5.4436363636363637E-2</v>
      </c>
      <c r="T7" s="57">
        <f>IFERROR(G7/I7,"")</f>
        <v>5.4436363636363637E-2</v>
      </c>
      <c r="U7" s="57">
        <f>IFERROR(G7/(I7+Q7),"")</f>
        <v>5.4436363636363637E-2</v>
      </c>
      <c r="V7" s="58">
        <f>IF(M7="",G7-O7,G7-M7-O7)</f>
        <v>10437.5</v>
      </c>
      <c r="W7" s="58">
        <f>IF(I7="","",I7+Q7-IF(K7="",0,K7))</f>
        <v>50000</v>
      </c>
      <c r="X7" s="57">
        <f>IFERROR(V7/W7,"")</f>
        <v>0.20874999999999999</v>
      </c>
    </row>
    <row r="8" spans="1:24" ht="24" customHeight="1" x14ac:dyDescent="0.2">
      <c r="A8" s="56" t="s">
        <v>32</v>
      </c>
      <c r="B8" s="56" t="s">
        <v>33</v>
      </c>
      <c r="C8" s="57">
        <f>IFERROR(F8/D8,"")</f>
        <v>0.5</v>
      </c>
      <c r="D8" s="58">
        <f>SUM(Mieterliste!$E$7:$E$7)</f>
        <v>750</v>
      </c>
      <c r="E8" s="58">
        <f>D8*12</f>
        <v>9000</v>
      </c>
      <c r="F8" s="58">
        <f>SUM(Mieterliste!$J$7:$J$7)</f>
        <v>375</v>
      </c>
      <c r="G8" s="58">
        <f>F8*12</f>
        <v>4500</v>
      </c>
      <c r="H8" s="59">
        <v>200000</v>
      </c>
      <c r="I8" s="58">
        <f>IF(H8="","",H8*C8)</f>
        <v>100000</v>
      </c>
      <c r="J8" s="59">
        <v>0</v>
      </c>
      <c r="K8" s="58">
        <f>IF(J8="","",J8*C8)</f>
        <v>0</v>
      </c>
      <c r="L8" s="60">
        <v>0.02</v>
      </c>
      <c r="M8" s="58">
        <f>IF(OR(K8="",L8=""),"",K8*L8)</f>
        <v>0</v>
      </c>
      <c r="N8" s="59">
        <v>700</v>
      </c>
      <c r="O8" s="58">
        <f>IF(N8="",0,N8*C8)</f>
        <v>350</v>
      </c>
      <c r="P8" s="59"/>
      <c r="Q8" s="58">
        <f>IF(P8="",0,P8*C8)</f>
        <v>0</v>
      </c>
      <c r="R8" s="61">
        <f>IFERROR(H8/E8,"")</f>
        <v>22.222222222222221</v>
      </c>
      <c r="S8" s="57">
        <f>IFERROR(E8/H8,"")</f>
        <v>4.4999999999999998E-2</v>
      </c>
      <c r="T8" s="57">
        <f>IFERROR(G8/I8,"")</f>
        <v>4.4999999999999998E-2</v>
      </c>
      <c r="U8" s="57">
        <f>IFERROR(G8/(I8+Q8),"")</f>
        <v>4.4999999999999998E-2</v>
      </c>
      <c r="V8" s="58">
        <f>IF(M8="",G8-O8,G8-M8-O8)</f>
        <v>4150</v>
      </c>
      <c r="W8" s="58">
        <f>IF(I8="","",I8+Q8-IF(K8="",0,K8))</f>
        <v>100000</v>
      </c>
      <c r="X8" s="57">
        <f>IFERROR(V8/W8,"")</f>
        <v>4.1500000000000002E-2</v>
      </c>
    </row>
    <row r="9" spans="1:24" ht="24" customHeight="1" x14ac:dyDescent="0.2">
      <c r="A9" s="56" t="s">
        <v>34</v>
      </c>
      <c r="B9" s="56" t="s">
        <v>35</v>
      </c>
      <c r="C9" s="57">
        <f>IFERROR(F9/D9,"")</f>
        <v>0.33333333333333331</v>
      </c>
      <c r="D9" s="58">
        <f>SUM(Mieterliste!$E$8:$E$8)</f>
        <v>974.08</v>
      </c>
      <c r="E9" s="58">
        <f>D9*12</f>
        <v>11688.960000000001</v>
      </c>
      <c r="F9" s="58">
        <f>SUM(Mieterliste!$J$8:$J$8)</f>
        <v>324.69333333333333</v>
      </c>
      <c r="G9" s="58">
        <f>F9*12</f>
        <v>3896.3199999999997</v>
      </c>
      <c r="H9" s="59">
        <v>350000</v>
      </c>
      <c r="I9" s="58">
        <f>IF(H9="","",H9*C9)</f>
        <v>116666.66666666666</v>
      </c>
      <c r="J9" s="59">
        <v>224500</v>
      </c>
      <c r="K9" s="58">
        <f>IF(J9="","",J9*C9)</f>
        <v>74833.333333333328</v>
      </c>
      <c r="L9" s="60">
        <v>5.7999999999999996E-3</v>
      </c>
      <c r="M9" s="58">
        <f>IF(OR(K9="",L9=""),"",K9*L9)</f>
        <v>434.0333333333333</v>
      </c>
      <c r="N9" s="59">
        <v>900</v>
      </c>
      <c r="O9" s="58">
        <f>IF(N9="",0,N9*C9)</f>
        <v>300</v>
      </c>
      <c r="P9" s="59"/>
      <c r="Q9" s="58">
        <f>IF(P9="",0,P9*C9)</f>
        <v>0</v>
      </c>
      <c r="R9" s="61">
        <f>IFERROR(H9/E9,"")</f>
        <v>29.942783618046427</v>
      </c>
      <c r="S9" s="57">
        <f>IFERROR(E9/H9,"")</f>
        <v>3.3397028571428573E-2</v>
      </c>
      <c r="T9" s="57">
        <f>IFERROR(G9/I9,"")</f>
        <v>3.3397028571428573E-2</v>
      </c>
      <c r="U9" s="57">
        <f>IFERROR(G9/(I9+Q9),"")</f>
        <v>3.3397028571428573E-2</v>
      </c>
      <c r="V9" s="58">
        <f>IF(M9="",G9-O9,G9-M9-O9)</f>
        <v>3162.2866666666664</v>
      </c>
      <c r="W9" s="58">
        <f>IF(I9="","",I9+Q9-IF(K9="",0,K9))</f>
        <v>41833.333333333328</v>
      </c>
      <c r="X9" s="57">
        <f>IFERROR(V9/W9,"")</f>
        <v>7.5592509960159371E-2</v>
      </c>
    </row>
    <row r="10" spans="1:24" ht="24" customHeight="1" x14ac:dyDescent="0.2">
      <c r="A10" s="56" t="s">
        <v>36</v>
      </c>
      <c r="B10" s="56" t="s">
        <v>37</v>
      </c>
      <c r="C10" s="57">
        <f>IFERROR(F10/D10,"")</f>
        <v>0.5</v>
      </c>
      <c r="D10" s="58">
        <f>SUM(Mieterliste!$E$9:$E$9)</f>
        <v>750</v>
      </c>
      <c r="E10" s="58">
        <f>D10*12</f>
        <v>9000</v>
      </c>
      <c r="F10" s="58">
        <f>SUM(Mieterliste!$J$9:$J$9)</f>
        <v>375</v>
      </c>
      <c r="G10" s="58">
        <f>F10*12</f>
        <v>4500</v>
      </c>
      <c r="H10" s="59">
        <v>140000</v>
      </c>
      <c r="I10" s="58">
        <f>IF(H10="","",H10*C10)</f>
        <v>70000</v>
      </c>
      <c r="J10" s="59">
        <v>140000</v>
      </c>
      <c r="K10" s="58">
        <f>IF(J10="","",J10*C10)</f>
        <v>70000</v>
      </c>
      <c r="L10" s="60">
        <v>3.95E-2</v>
      </c>
      <c r="M10" s="58">
        <f>IF(OR(K10="",L10=""),"",K10*L10)</f>
        <v>2765</v>
      </c>
      <c r="N10" s="59">
        <v>500</v>
      </c>
      <c r="O10" s="58">
        <f>IF(N10="",0,N10*C10)</f>
        <v>250</v>
      </c>
      <c r="P10" s="59"/>
      <c r="Q10" s="58">
        <f>IF(P10="",0,P10*C10)</f>
        <v>0</v>
      </c>
      <c r="R10" s="61">
        <f>IFERROR(H10/E10,"")</f>
        <v>15.555555555555555</v>
      </c>
      <c r="S10" s="57">
        <f>IFERROR(E10/H10,"")</f>
        <v>6.4285714285714279E-2</v>
      </c>
      <c r="T10" s="57">
        <f>IFERROR(G10/I10,"")</f>
        <v>6.4285714285714279E-2</v>
      </c>
      <c r="U10" s="57">
        <f>IFERROR(G10/(I10+Q10),"")</f>
        <v>6.4285714285714279E-2</v>
      </c>
      <c r="V10" s="58">
        <f>IF(M10="",G10-O10,G10-M10-O10)</f>
        <v>1485</v>
      </c>
      <c r="W10" s="58">
        <f>IF(I10="","",I10+Q10-IF(K10="",0,K10))</f>
        <v>0</v>
      </c>
      <c r="X10" s="57" t="str">
        <f>IFERROR(V10/W10,"")</f>
        <v/>
      </c>
    </row>
    <row r="11" spans="1:24" ht="24" customHeight="1" x14ac:dyDescent="0.2">
      <c r="A11" s="62" t="s">
        <v>38</v>
      </c>
      <c r="B11" s="62"/>
      <c r="C11" s="63">
        <f>IFERROR(AVERAGE(C7:C10),"")</f>
        <v>0.45833333333333331</v>
      </c>
      <c r="D11" s="64">
        <f t="shared" ref="D11:K11" si="0">SUM(D7:D10)</f>
        <v>4969.08</v>
      </c>
      <c r="E11" s="64">
        <f t="shared" si="0"/>
        <v>59628.959999999999</v>
      </c>
      <c r="F11" s="64">
        <f t="shared" si="0"/>
        <v>2322.1933333333336</v>
      </c>
      <c r="G11" s="64">
        <f t="shared" si="0"/>
        <v>27866.32</v>
      </c>
      <c r="H11" s="64">
        <f t="shared" si="0"/>
        <v>1240000</v>
      </c>
      <c r="I11" s="64">
        <f t="shared" si="0"/>
        <v>561666.66666666663</v>
      </c>
      <c r="J11" s="64">
        <f t="shared" si="0"/>
        <v>814500</v>
      </c>
      <c r="K11" s="64">
        <f t="shared" si="0"/>
        <v>369833.33333333331</v>
      </c>
      <c r="L11" s="63">
        <f>IFERROR(AVERAGE(L7:L10),"")</f>
        <v>2.0249999999999997E-2</v>
      </c>
      <c r="M11" s="64">
        <f>SUM(M7:M10)</f>
        <v>6731.5333333333328</v>
      </c>
      <c r="N11" s="64">
        <f>SUM(N7:N10)</f>
        <v>4100</v>
      </c>
      <c r="O11" s="64">
        <f>SUM(O7:O10)</f>
        <v>1900</v>
      </c>
      <c r="P11" s="64">
        <f>SUM(P7:P10)</f>
        <v>0</v>
      </c>
      <c r="Q11" s="64">
        <f>SUM(Q7:Q10)</f>
        <v>0</v>
      </c>
      <c r="R11" s="65">
        <f>IFERROR(AVERAGE(R7:R10),"")</f>
        <v>21.522658719029533</v>
      </c>
      <c r="S11" s="63">
        <f>IFERROR(AVERAGE(S7:S10),"")</f>
        <v>4.9279776623376619E-2</v>
      </c>
      <c r="T11" s="63">
        <f>IFERROR(AVERAGE(T7:T10),"")</f>
        <v>4.9279776623376619E-2</v>
      </c>
      <c r="U11" s="63">
        <f>IFERROR(AVERAGE(U7:U10),"")</f>
        <v>4.9279776623376619E-2</v>
      </c>
      <c r="V11" s="64">
        <f>SUM(V7:V10)</f>
        <v>19234.786666666667</v>
      </c>
      <c r="W11" s="64">
        <f>SUM(W7:W10)</f>
        <v>191833.33333333331</v>
      </c>
      <c r="X11" s="63">
        <f>IFERROR(AVERAGE(X7:X10),"")</f>
        <v>0.10861416998671979</v>
      </c>
    </row>
  </sheetData>
  <autoFilter ref="A6:X10" xr:uid="{00000000-0009-0000-0000-000002000000}"/>
  <conditionalFormatting sqref="S7:U10">
    <cfRule type="colorScale" priority="1">
      <colorScale>
        <cfvo type="min"/>
        <cfvo type="percentile" val="50"/>
        <cfvo type="max"/>
        <color rgb="FFFCE4D6"/>
        <color rgb="FFFFF2CC"/>
        <color rgb="FFC6EFCE"/>
      </colorScale>
    </cfRule>
  </conditionalFormatting>
  <conditionalFormatting sqref="X7:X10">
    <cfRule type="colorScale" priority="2">
      <colorScale>
        <cfvo type="min"/>
        <cfvo type="percentile" val="50"/>
        <cfvo type="max"/>
        <color rgb="FFFCE4D6"/>
        <color rgb="FFFFF2CC"/>
        <color rgb="FFC6EFCE"/>
      </colorScale>
    </cfRule>
  </conditionalFormatting>
  <pageMargins left="0.75" right="0.75" top="1" bottom="1" header="0.5" footer="0.5"/>
  <pageSetup fitToHeight="0" orientation="landscape"/>
  <headerFooter>
    <oddHeader>&amp;R&amp;"Aptos"&amp;12&amp;K0000FF C2&amp;1#_x000D_</oddHeader>
  </headerFooter>
</worksheet>
</file>

<file path=docMetadata/LabelInfo.xml><?xml version="1.0" encoding="utf-8"?>
<clbl:labelList xmlns:clbl="http://schemas.microsoft.com/office/2020/mipLabelMetadata">
  <clbl:label id="{a9be80aa-1d81-4f9b-a725-00b7929cdbde}" enabled="1" method="Standard" siteId="{b2e0bd95-d717-4462-b33e-dcaec4e9c4ec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Rohdaten</vt:lpstr>
      <vt:lpstr>Mieterliste</vt:lpstr>
      <vt:lpstr>Rentabilität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Jonathan ZUCKER</cp:lastModifiedBy>
  <dcterms:created xsi:type="dcterms:W3CDTF">2022-01-26T11:17:18Z</dcterms:created>
  <dcterms:modified xsi:type="dcterms:W3CDTF">2026-05-17T03:22:17Z</dcterms:modified>
</cp:coreProperties>
</file>